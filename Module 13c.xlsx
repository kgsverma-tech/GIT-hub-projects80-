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n11 Pro\Downloads\"/>
    </mc:Choice>
  </mc:AlternateContent>
  <xr:revisionPtr revIDLastSave="0" documentId="13_ncr:1_{4C2EB97D-7E52-49B0-A035-03C9A24FBBB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Accounts_Data" sheetId="1" r:id="rId1"/>
    <sheet name="Operations_Data" sheetId="2" r:id="rId2"/>
    <sheet name="Sales_Data" sheetId="3" r:id="rId3"/>
    <sheet name="Support_Data" sheetId="4" r:id="rId4"/>
    <sheet name="Append1" sheetId="5" r:id="rId5"/>
  </sheets>
  <definedNames>
    <definedName name="ExternalData_1" localSheetId="4" hidden="1">Append1!$A$1:$G$30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6" i="4"/>
  <c r="G7" i="4"/>
  <c r="G8" i="4"/>
  <c r="G9" i="4"/>
  <c r="G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8DA35-A62C-47BF-9735-037DBA9D1FDB}" keepAlive="1" name="Query - Accounts_Data" description="Connection to the 'Accounts_Data' query in the workbook." type="5" refreshedVersion="0" background="1">
    <dbPr connection="Provider=Microsoft.Mashup.OleDb.1;Data Source=$Workbook$;Location=Accounts_Data;Extended Properties=&quot;&quot;" command="SELECT * FROM [Accounts_Data]"/>
  </connection>
  <connection id="2" xr16:uid="{D1C07F6E-B24A-4C41-8652-1E63DC2EAED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58AA537F-CA21-414A-A6B9-078BFEC00DE1}" keepAlive="1" name="Query - Operations_Data" description="Connection to the 'Operations_Data' query in the workbook." type="5" refreshedVersion="0" background="1">
    <dbPr connection="Provider=Microsoft.Mashup.OleDb.1;Data Source=$Workbook$;Location=Operations_Data;Extended Properties=&quot;&quot;" command="SELECT * FROM [Operations_Data]"/>
  </connection>
  <connection id="4" xr16:uid="{77709C23-8D3A-4DEC-BF83-315D9304218D}" keepAlive="1" name="Query - Sales_Data" description="Connection to the 'Sales_Data' query in the workbook." type="5" refreshedVersion="0" background="1">
    <dbPr connection="Provider=Microsoft.Mashup.OleDb.1;Data Source=$Workbook$;Location=Sales_Data;Extended Properties=&quot;&quot;" command="SELECT * FROM [Sales_Data]"/>
  </connection>
  <connection id="5" xr16:uid="{6ADE45A0-8B7B-4B78-A834-ADACD526C4E4}" keepAlive="1" name="Query - Support_Data" description="Connection to the 'Support_Data' query in the workbook." type="5" refreshedVersion="0" background="1">
    <dbPr connection="Provider=Microsoft.Mashup.OleDb.1;Data Source=$Workbook$;Location=Support_Data;Extended Properties=&quot;&quot;" command="SELECT * FROM [Support_Data]"/>
  </connection>
</connections>
</file>

<file path=xl/sharedStrings.xml><?xml version="1.0" encoding="utf-8"?>
<sst xmlns="http://schemas.openxmlformats.org/spreadsheetml/2006/main" count="146" uniqueCount="42">
  <si>
    <t>Name</t>
  </si>
  <si>
    <t>Location</t>
  </si>
  <si>
    <t>Payable Days</t>
  </si>
  <si>
    <t>Total Days</t>
  </si>
  <si>
    <t>Salary</t>
  </si>
  <si>
    <t>Net Payable</t>
  </si>
  <si>
    <t>Akash J</t>
  </si>
  <si>
    <t>Kailash K</t>
  </si>
  <si>
    <t>Rakesh M</t>
  </si>
  <si>
    <t>Jayesh O</t>
  </si>
  <si>
    <t>Sayali T</t>
  </si>
  <si>
    <t>Jayant L</t>
  </si>
  <si>
    <t>Mayur G</t>
  </si>
  <si>
    <t>Pune</t>
  </si>
  <si>
    <t>Mumbai</t>
  </si>
  <si>
    <t>Bangalore</t>
  </si>
  <si>
    <t>Hyderabad</t>
  </si>
  <si>
    <t>Akash L</t>
  </si>
  <si>
    <t>Kailash M</t>
  </si>
  <si>
    <t>Rakesh N</t>
  </si>
  <si>
    <t>Jayesh P</t>
  </si>
  <si>
    <t>Sayali Q</t>
  </si>
  <si>
    <t>Jayant R</t>
  </si>
  <si>
    <t>Mayur S</t>
  </si>
  <si>
    <t>Shreyansh T</t>
  </si>
  <si>
    <t>Mayuri M</t>
  </si>
  <si>
    <t>Priyanka P</t>
  </si>
  <si>
    <t>Pramod P</t>
  </si>
  <si>
    <t>Usha K</t>
  </si>
  <si>
    <t>Uma A</t>
  </si>
  <si>
    <t>Anoop N</t>
  </si>
  <si>
    <t>Ashwini R</t>
  </si>
  <si>
    <t>Ravicharan</t>
  </si>
  <si>
    <t>Ravindra J</t>
  </si>
  <si>
    <t>Rohit S</t>
  </si>
  <si>
    <t>Virat K</t>
  </si>
  <si>
    <t>Mohit K</t>
  </si>
  <si>
    <t>Manan C</t>
  </si>
  <si>
    <t>Present Days</t>
  </si>
  <si>
    <t>Monthly Pay</t>
  </si>
  <si>
    <t>power query eidtior to corect data excel</t>
  </si>
  <si>
    <t>kartikey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</si>
</sst>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4" fontId="0" fillId="0" borderId="0" xfId="1" applyFont="1"/>
    <xf numFmtId="2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12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364C7A-9F2D-4061-8829-B677A4D53B61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Location" tableColumnId="2"/>
      <queryTableField id="3" name="Payable Days" tableColumnId="3"/>
      <queryTableField id="4" name="Total Days" tableColumnId="4"/>
      <queryTableField id="5" name="Salary" tableColumnId="5"/>
      <queryTableField id="6" name="Net Payable" tableColumnId="6"/>
      <queryTableField id="7" name="Monthly Pay" tableColumnId="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693A17-7542-41C5-976E-627EBD09CB7B}" name="Accounts_Data" displayName="Accounts_Data" ref="B2:G10" totalsRowShown="0">
  <autoFilter ref="B2:G10" xr:uid="{FD693A17-7542-41C5-976E-627EBD09CB7B}"/>
  <tableColumns count="6">
    <tableColumn id="1" xr3:uid="{99516A3F-CCDA-4149-BC33-95C4F68B07B0}" name="Name"/>
    <tableColumn id="2" xr3:uid="{0B40CDC4-17CB-4FD8-8C74-4199DE51D852}" name="Location"/>
    <tableColumn id="3" xr3:uid="{30F59286-0333-42A8-8206-89990C8A1A12}" name="Payable Days" dataDxfId="11"/>
    <tableColumn id="4" xr3:uid="{927A7066-C5B4-48D8-9AD4-24C2277FF8BA}" name="Total Days" dataDxfId="10"/>
    <tableColumn id="5" xr3:uid="{35FA3F2D-2012-4E22-B855-824BCEE7D9AE}" name="Salary" dataCellStyle="Currency"/>
    <tableColumn id="6" xr3:uid="{CDB6884D-BE66-49DF-BF57-CB766134929C}" name="Net Payable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04EFBD-131D-4036-B9DB-3B25C8A5F968}" name="Operations_Data" displayName="Operations_Data" ref="B2:G10" totalsRowShown="0">
  <autoFilter ref="B2:G10" xr:uid="{3104EFBD-131D-4036-B9DB-3B25C8A5F968}"/>
  <tableColumns count="6">
    <tableColumn id="1" xr3:uid="{54CBCE18-7A5F-4773-AF11-D1FF014AF2CA}" name="Name"/>
    <tableColumn id="2" xr3:uid="{11D7684F-A7FB-49EA-96A3-924FD9E83EA7}" name="Location"/>
    <tableColumn id="3" xr3:uid="{F19473F2-9E0C-4F59-A9A0-30C6F7D46FA5}" name="Payable Days" dataDxfId="9"/>
    <tableColumn id="4" xr3:uid="{953322F9-9098-4B67-A742-BD84EF2CA82A}" name="Total Days" dataDxfId="8"/>
    <tableColumn id="5" xr3:uid="{742F01B7-ADBB-491D-9E41-EDF30680F109}" name="Salary" dataDxfId="7"/>
    <tableColumn id="6" xr3:uid="{89813EB4-2CC3-4B6F-88B4-9F14ADCDB97D}" name="Net Payabl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E6D8D-A563-4C37-B1E5-57892AAA7EEE}" name="Sales_Data" displayName="Sales_Data" ref="B2:G9" totalsRowShown="0">
  <autoFilter ref="B2:G9" xr:uid="{CEDE6D8D-A563-4C37-B1E5-57892AAA7EEE}"/>
  <tableColumns count="6">
    <tableColumn id="1" xr3:uid="{86670209-55ED-4775-BE1F-91EF417DDA60}" name="Name"/>
    <tableColumn id="2" xr3:uid="{77554772-B3F9-4B90-90D7-D28A2C1E9AC0}" name="Location"/>
    <tableColumn id="3" xr3:uid="{54862C52-B7FF-4B56-82ED-4B16B3AC444B}" name="Payable Days" dataDxfId="5"/>
    <tableColumn id="4" xr3:uid="{4076C975-70FF-4123-9136-4E52671918E2}" name="Total Days" dataDxfId="4"/>
    <tableColumn id="5" xr3:uid="{1157AEA7-E036-42A6-AB34-17C21DDF6BD3}" name="Salary" dataCellStyle="Currency"/>
    <tableColumn id="6" xr3:uid="{AE00ACA1-363C-40C9-81F3-AC3F71963633}" name="Net Payable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9FB72-1B47-4177-B2C1-D1961FEECD5E}" name="Support_Data" displayName="Support_Data" ref="B2:G10" totalsRowShown="0">
  <autoFilter ref="B2:G10" xr:uid="{B149FB72-1B47-4177-B2C1-D1961FEECD5E}"/>
  <tableColumns count="6">
    <tableColumn id="1" xr3:uid="{CF9AA606-5604-48F0-A987-DF1DED6F2360}" name="Name"/>
    <tableColumn id="2" xr3:uid="{415A4500-9B28-42DF-972B-145EC1DDE03C}" name="Location"/>
    <tableColumn id="3" xr3:uid="{E7FA9CFC-DC96-44D6-91AC-FDF118EF7BB0}" name="Present Days" dataDxfId="3"/>
    <tableColumn id="4" xr3:uid="{96A6FAB9-CA20-48CD-A223-44F0C1183CAB}" name="Total Days" dataDxfId="2"/>
    <tableColumn id="5" xr3:uid="{65D6FF5D-E91A-46DB-8887-1BA490372439}" name="Monthly Pay" dataCellStyle="Currency"/>
    <tableColumn id="6" xr3:uid="{1822E0AD-EA03-4472-87D4-379A409D135F}" name="Net Payable" dataCellStyle="Currency">
      <calculatedColumnFormula>F3*D3/E3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AE25F-B9D0-47DD-B684-2A7C41C673EE}" name="Append1" displayName="Append1" ref="A1:G30" tableType="queryTable" totalsRowShown="0">
  <autoFilter ref="A1:G30" xr:uid="{CDDAE25F-B9D0-47DD-B684-2A7C41C673EE}"/>
  <tableColumns count="7">
    <tableColumn id="1" xr3:uid="{EF063D56-3174-4071-8B8C-7B1227443AED}" uniqueName="1" name="Name" queryTableFieldId="1" dataDxfId="1"/>
    <tableColumn id="2" xr3:uid="{50FE7F83-8AE1-4422-8337-539E89D9AF74}" uniqueName="2" name="Location" queryTableFieldId="2" dataDxfId="0"/>
    <tableColumn id="3" xr3:uid="{2C484DD0-B1AA-4623-B20B-80E04BA37831}" uniqueName="3" name="Payable Days" queryTableFieldId="3"/>
    <tableColumn id="4" xr3:uid="{70259BBD-F107-4343-9649-CAC40541BA11}" uniqueName="4" name="Total Days" queryTableFieldId="4"/>
    <tableColumn id="5" xr3:uid="{D41EB362-058D-48FB-A9ED-F6CB53CF5CF2}" uniqueName="5" name="Salary" queryTableFieldId="5"/>
    <tableColumn id="6" xr3:uid="{66666A00-06AC-4B50-B6EE-11B8035BE752}" uniqueName="6" name="Net Payable" queryTableFieldId="6"/>
    <tableColumn id="7" xr3:uid="{639BB39A-08F8-48BE-877C-4F03595953DE}" uniqueName="7" name="Monthly Pa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tabSelected="1" workbookViewId="0">
      <selection activeCell="E5" sqref="E5"/>
    </sheetView>
  </sheetViews>
  <sheetFormatPr defaultRowHeight="14.25" x14ac:dyDescent="0.45"/>
  <cols>
    <col min="2" max="2" width="13.19921875" customWidth="1"/>
    <col min="3" max="3" width="9.86328125" customWidth="1"/>
    <col min="4" max="4" width="13.796875" customWidth="1"/>
    <col min="5" max="5" width="11.53125" customWidth="1"/>
    <col min="6" max="6" width="11.19921875" bestFit="1" customWidth="1"/>
    <col min="7" max="7" width="12.796875" customWidth="1"/>
  </cols>
  <sheetData>
    <row r="2" spans="2:11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11" x14ac:dyDescent="0.45">
      <c r="B3" t="s">
        <v>31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  <c r="K3" t="s">
        <v>40</v>
      </c>
    </row>
    <row r="4" spans="2:11" x14ac:dyDescent="0.45">
      <c r="B4" t="s">
        <v>32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11" x14ac:dyDescent="0.45">
      <c r="B5" t="s">
        <v>33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11" x14ac:dyDescent="0.45">
      <c r="B6" t="s">
        <v>34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11" x14ac:dyDescent="0.45">
      <c r="B7" t="s">
        <v>35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11" x14ac:dyDescent="0.45">
      <c r="B8" t="s">
        <v>36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11" x14ac:dyDescent="0.45">
      <c r="B9" t="s">
        <v>37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  <row r="10" spans="2:11" x14ac:dyDescent="0.45">
      <c r="B10" t="s">
        <v>41</v>
      </c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A932-5F5D-478A-BA9A-787424F57257}">
  <dimension ref="B2:G10"/>
  <sheetViews>
    <sheetView workbookViewId="0">
      <selection activeCell="D7" sqref="D7"/>
    </sheetView>
  </sheetViews>
  <sheetFormatPr defaultRowHeight="14.25" x14ac:dyDescent="0.45"/>
  <cols>
    <col min="2" max="2" width="13.46484375" customWidth="1"/>
    <col min="3" max="3" width="9.86328125" customWidth="1"/>
    <col min="4" max="4" width="13.796875" customWidth="1"/>
    <col min="5" max="5" width="11.53125" customWidth="1"/>
    <col min="6" max="6" width="10.19921875" bestFit="1" customWidth="1"/>
    <col min="7" max="7" width="12.796875" customWidth="1"/>
  </cols>
  <sheetData>
    <row r="2" spans="2:7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45">
      <c r="B3" t="s">
        <v>24</v>
      </c>
      <c r="C3" t="s">
        <v>13</v>
      </c>
      <c r="D3" s="4">
        <v>31</v>
      </c>
      <c r="E3" s="4">
        <v>31</v>
      </c>
      <c r="F3" s="2">
        <v>25000</v>
      </c>
      <c r="G3" s="2">
        <v>25000</v>
      </c>
    </row>
    <row r="4" spans="2:7" x14ac:dyDescent="0.45">
      <c r="B4" t="s">
        <v>25</v>
      </c>
      <c r="C4" t="s">
        <v>13</v>
      </c>
      <c r="D4" s="4">
        <v>31</v>
      </c>
      <c r="E4" s="4">
        <v>31</v>
      </c>
      <c r="F4" s="2">
        <v>30000</v>
      </c>
      <c r="G4" s="2">
        <v>30000</v>
      </c>
    </row>
    <row r="5" spans="2:7" x14ac:dyDescent="0.45">
      <c r="B5" t="s">
        <v>26</v>
      </c>
      <c r="C5" t="s">
        <v>14</v>
      </c>
      <c r="D5" s="4">
        <v>29</v>
      </c>
      <c r="E5" s="4">
        <v>31</v>
      </c>
      <c r="F5" s="2">
        <v>35000</v>
      </c>
      <c r="G5" s="2">
        <v>32741.935483870966</v>
      </c>
    </row>
    <row r="6" spans="2:7" x14ac:dyDescent="0.45">
      <c r="B6" t="s">
        <v>27</v>
      </c>
      <c r="C6" t="s">
        <v>14</v>
      </c>
      <c r="D6" s="4">
        <v>30</v>
      </c>
      <c r="E6" s="4">
        <v>31</v>
      </c>
      <c r="F6" s="2">
        <v>40000</v>
      </c>
      <c r="G6" s="2">
        <v>38709.677419354841</v>
      </c>
    </row>
    <row r="7" spans="2:7" x14ac:dyDescent="0.45">
      <c r="B7" t="s">
        <v>28</v>
      </c>
      <c r="C7" t="s">
        <v>15</v>
      </c>
      <c r="D7" s="4">
        <v>30</v>
      </c>
      <c r="E7" s="4">
        <v>31</v>
      </c>
      <c r="F7" s="2">
        <v>45000</v>
      </c>
      <c r="G7" s="2">
        <v>43548.387096774197</v>
      </c>
    </row>
    <row r="8" spans="2:7" x14ac:dyDescent="0.45">
      <c r="B8" t="s">
        <v>29</v>
      </c>
      <c r="C8" t="s">
        <v>15</v>
      </c>
      <c r="D8" s="4">
        <v>31</v>
      </c>
      <c r="E8" s="4">
        <v>31</v>
      </c>
      <c r="F8" s="2">
        <v>50000</v>
      </c>
      <c r="G8" s="2">
        <v>50000</v>
      </c>
    </row>
    <row r="9" spans="2:7" x14ac:dyDescent="0.45">
      <c r="B9" t="s">
        <v>30</v>
      </c>
      <c r="C9" t="s">
        <v>16</v>
      </c>
      <c r="D9" s="4">
        <v>31</v>
      </c>
      <c r="E9" s="4">
        <v>31</v>
      </c>
      <c r="F9" s="2">
        <v>55000</v>
      </c>
      <c r="G9" s="2">
        <v>55000</v>
      </c>
    </row>
    <row r="10" spans="2:7" x14ac:dyDescent="0.45">
      <c r="D10" s="4"/>
      <c r="E10" s="4"/>
      <c r="F10" s="2"/>
      <c r="G1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AD4C-CD2D-46A0-B307-2F634E3DB1B7}">
  <dimension ref="B2:G9"/>
  <sheetViews>
    <sheetView workbookViewId="0">
      <selection activeCell="E6" sqref="E6"/>
    </sheetView>
  </sheetViews>
  <sheetFormatPr defaultRowHeight="14.25" x14ac:dyDescent="0.45"/>
  <cols>
    <col min="3" max="3" width="9.86328125" customWidth="1"/>
    <col min="4" max="4" width="13.796875" customWidth="1"/>
    <col min="5" max="5" width="11.53125" customWidth="1"/>
    <col min="6" max="6" width="11.19921875" bestFit="1" customWidth="1"/>
    <col min="7" max="7" width="17.33203125" style="1" customWidth="1"/>
  </cols>
  <sheetData>
    <row r="2" spans="2:7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</row>
    <row r="3" spans="2:7" x14ac:dyDescent="0.45">
      <c r="B3" t="s">
        <v>17</v>
      </c>
      <c r="C3" t="s">
        <v>13</v>
      </c>
      <c r="D3" s="4">
        <v>31</v>
      </c>
      <c r="E3" s="4">
        <v>31</v>
      </c>
      <c r="F3" s="3">
        <v>25000</v>
      </c>
      <c r="G3" s="3">
        <v>25000</v>
      </c>
    </row>
    <row r="4" spans="2:7" x14ac:dyDescent="0.45">
      <c r="B4" t="s">
        <v>18</v>
      </c>
      <c r="C4" t="s">
        <v>13</v>
      </c>
      <c r="D4" s="4">
        <v>31</v>
      </c>
      <c r="E4" s="4">
        <v>31</v>
      </c>
      <c r="F4" s="3">
        <v>30000</v>
      </c>
      <c r="G4" s="3">
        <v>30000</v>
      </c>
    </row>
    <row r="5" spans="2:7" x14ac:dyDescent="0.45">
      <c r="B5" t="s">
        <v>19</v>
      </c>
      <c r="C5" t="s">
        <v>14</v>
      </c>
      <c r="D5" s="4">
        <v>29</v>
      </c>
      <c r="E5" s="4">
        <v>31</v>
      </c>
      <c r="F5" s="3">
        <v>35000</v>
      </c>
      <c r="G5" s="3">
        <v>32741.935483870966</v>
      </c>
    </row>
    <row r="6" spans="2:7" x14ac:dyDescent="0.45">
      <c r="B6" t="s">
        <v>20</v>
      </c>
      <c r="C6" t="s">
        <v>14</v>
      </c>
      <c r="D6" s="4">
        <v>30</v>
      </c>
      <c r="E6" s="4">
        <v>31</v>
      </c>
      <c r="F6" s="3">
        <v>40000</v>
      </c>
      <c r="G6" s="3">
        <v>38709.677419354841</v>
      </c>
    </row>
    <row r="7" spans="2:7" x14ac:dyDescent="0.45">
      <c r="B7" t="s">
        <v>21</v>
      </c>
      <c r="C7" t="s">
        <v>15</v>
      </c>
      <c r="D7" s="4">
        <v>30</v>
      </c>
      <c r="E7" s="4">
        <v>31</v>
      </c>
      <c r="F7" s="3">
        <v>45000</v>
      </c>
      <c r="G7" s="3">
        <v>43548.387096774197</v>
      </c>
    </row>
    <row r="8" spans="2:7" x14ac:dyDescent="0.45">
      <c r="B8" t="s">
        <v>22</v>
      </c>
      <c r="C8" t="s">
        <v>15</v>
      </c>
      <c r="D8" s="4">
        <v>31</v>
      </c>
      <c r="E8" s="4">
        <v>31</v>
      </c>
      <c r="F8" s="3">
        <v>50000</v>
      </c>
      <c r="G8" s="3">
        <v>50000</v>
      </c>
    </row>
    <row r="9" spans="2:7" x14ac:dyDescent="0.45">
      <c r="B9" t="s">
        <v>23</v>
      </c>
      <c r="C9" t="s">
        <v>16</v>
      </c>
      <c r="D9" s="4">
        <v>31</v>
      </c>
      <c r="E9" s="4">
        <v>31</v>
      </c>
      <c r="F9" s="3">
        <v>55000</v>
      </c>
      <c r="G9" s="3">
        <v>55000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C177-B8A3-46BF-A326-0F6916211727}">
  <dimension ref="B2:G10"/>
  <sheetViews>
    <sheetView workbookViewId="0">
      <selection activeCell="D4" sqref="D4"/>
    </sheetView>
  </sheetViews>
  <sheetFormatPr defaultRowHeight="14.25" x14ac:dyDescent="0.45"/>
  <cols>
    <col min="3" max="3" width="18.86328125" customWidth="1"/>
    <col min="4" max="4" width="16" customWidth="1"/>
    <col min="5" max="5" width="19.19921875" customWidth="1"/>
    <col min="6" max="6" width="21" customWidth="1"/>
    <col min="7" max="7" width="27.19921875" customWidth="1"/>
  </cols>
  <sheetData>
    <row r="2" spans="2:7" x14ac:dyDescent="0.45">
      <c r="B2" t="s">
        <v>0</v>
      </c>
      <c r="C2" t="s">
        <v>1</v>
      </c>
      <c r="D2" t="s">
        <v>38</v>
      </c>
      <c r="E2" t="s">
        <v>3</v>
      </c>
      <c r="F2" t="s">
        <v>39</v>
      </c>
      <c r="G2" t="s">
        <v>5</v>
      </c>
    </row>
    <row r="3" spans="2:7" x14ac:dyDescent="0.45">
      <c r="B3" t="s">
        <v>6</v>
      </c>
      <c r="C3" t="s">
        <v>13</v>
      </c>
      <c r="D3" s="4">
        <v>31</v>
      </c>
      <c r="E3" s="4">
        <v>31</v>
      </c>
      <c r="F3" s="3">
        <v>25000</v>
      </c>
      <c r="G3" s="3">
        <f>F3*D3/E3</f>
        <v>25000</v>
      </c>
    </row>
    <row r="4" spans="2:7" x14ac:dyDescent="0.45">
      <c r="B4" t="s">
        <v>7</v>
      </c>
      <c r="C4" t="s">
        <v>13</v>
      </c>
      <c r="D4" s="4">
        <v>31</v>
      </c>
      <c r="E4" s="4">
        <v>31</v>
      </c>
      <c r="F4" s="3">
        <v>30000</v>
      </c>
      <c r="G4" s="3">
        <f t="shared" ref="G4:G9" si="0">F4*D4/E4</f>
        <v>30000</v>
      </c>
    </row>
    <row r="5" spans="2:7" x14ac:dyDescent="0.45">
      <c r="B5" t="s">
        <v>8</v>
      </c>
      <c r="C5" t="s">
        <v>14</v>
      </c>
      <c r="D5" s="4">
        <v>29</v>
      </c>
      <c r="E5" s="4">
        <v>31</v>
      </c>
      <c r="F5" s="3">
        <v>35000</v>
      </c>
      <c r="G5" s="3">
        <f t="shared" si="0"/>
        <v>32741.935483870966</v>
      </c>
    </row>
    <row r="6" spans="2:7" x14ac:dyDescent="0.45">
      <c r="B6" t="s">
        <v>9</v>
      </c>
      <c r="C6" t="s">
        <v>14</v>
      </c>
      <c r="D6" s="4">
        <v>30</v>
      </c>
      <c r="E6" s="4">
        <v>31</v>
      </c>
      <c r="F6" s="3">
        <v>40000</v>
      </c>
      <c r="G6" s="3">
        <f t="shared" si="0"/>
        <v>38709.677419354841</v>
      </c>
    </row>
    <row r="7" spans="2:7" x14ac:dyDescent="0.45">
      <c r="B7" t="s">
        <v>10</v>
      </c>
      <c r="C7" t="s">
        <v>15</v>
      </c>
      <c r="D7" s="4">
        <v>30</v>
      </c>
      <c r="E7" s="4">
        <v>31</v>
      </c>
      <c r="F7" s="3">
        <v>45000</v>
      </c>
      <c r="G7" s="3">
        <f t="shared" si="0"/>
        <v>43548.387096774197</v>
      </c>
    </row>
    <row r="8" spans="2:7" x14ac:dyDescent="0.45">
      <c r="B8" t="s">
        <v>11</v>
      </c>
      <c r="C8" t="s">
        <v>15</v>
      </c>
      <c r="D8" s="4">
        <v>31</v>
      </c>
      <c r="E8" s="4">
        <v>31</v>
      </c>
      <c r="F8" s="3">
        <v>50000</v>
      </c>
      <c r="G8" s="3">
        <f t="shared" si="0"/>
        <v>50000</v>
      </c>
    </row>
    <row r="9" spans="2:7" x14ac:dyDescent="0.45">
      <c r="B9" t="s">
        <v>12</v>
      </c>
      <c r="C9" t="s">
        <v>16</v>
      </c>
      <c r="D9" s="4">
        <v>31</v>
      </c>
      <c r="E9" s="4">
        <v>31</v>
      </c>
      <c r="F9" s="3">
        <v>55000</v>
      </c>
      <c r="G9" s="3">
        <f t="shared" si="0"/>
        <v>55000</v>
      </c>
    </row>
    <row r="10" spans="2:7" x14ac:dyDescent="0.45">
      <c r="D10" s="4"/>
      <c r="E10" s="4"/>
      <c r="F10" s="3"/>
      <c r="G1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3E83-62C6-4160-A226-F97E88B762BE}">
  <dimension ref="A1:G30"/>
  <sheetViews>
    <sheetView workbookViewId="0">
      <selection sqref="A1:G29"/>
    </sheetView>
  </sheetViews>
  <sheetFormatPr defaultRowHeight="14.25" x14ac:dyDescent="0.45"/>
  <cols>
    <col min="1" max="1" width="10.1328125" bestFit="1" customWidth="1"/>
    <col min="2" max="2" width="9.796875" bestFit="1" customWidth="1"/>
    <col min="3" max="3" width="13.59765625" bestFit="1" customWidth="1"/>
    <col min="4" max="4" width="11.33203125" bestFit="1" customWidth="1"/>
    <col min="5" max="5" width="7.796875" bestFit="1" customWidth="1"/>
    <col min="6" max="6" width="12.6640625" bestFit="1" customWidth="1"/>
    <col min="7" max="7" width="13.19921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45">
      <c r="A2" s="5" t="s">
        <v>31</v>
      </c>
      <c r="B2" s="5" t="s">
        <v>13</v>
      </c>
      <c r="C2">
        <v>31</v>
      </c>
      <c r="D2">
        <v>31</v>
      </c>
      <c r="E2">
        <v>25000</v>
      </c>
      <c r="F2">
        <v>25000</v>
      </c>
    </row>
    <row r="3" spans="1:7" x14ac:dyDescent="0.45">
      <c r="A3" s="5" t="s">
        <v>32</v>
      </c>
      <c r="B3" s="5" t="s">
        <v>13</v>
      </c>
      <c r="C3">
        <v>31</v>
      </c>
      <c r="D3">
        <v>31</v>
      </c>
      <c r="E3">
        <v>30000</v>
      </c>
      <c r="F3">
        <v>30000</v>
      </c>
    </row>
    <row r="4" spans="1:7" x14ac:dyDescent="0.45">
      <c r="A4" s="5" t="s">
        <v>33</v>
      </c>
      <c r="B4" s="5" t="s">
        <v>14</v>
      </c>
      <c r="C4">
        <v>29</v>
      </c>
      <c r="D4">
        <v>31</v>
      </c>
      <c r="E4">
        <v>35000</v>
      </c>
      <c r="F4">
        <v>32741.9355</v>
      </c>
    </row>
    <row r="5" spans="1:7" x14ac:dyDescent="0.45">
      <c r="A5" s="5" t="s">
        <v>34</v>
      </c>
      <c r="B5" s="5" t="s">
        <v>14</v>
      </c>
      <c r="C5">
        <v>30</v>
      </c>
      <c r="D5">
        <v>31</v>
      </c>
      <c r="E5">
        <v>40000</v>
      </c>
      <c r="F5">
        <v>38709.6774</v>
      </c>
    </row>
    <row r="6" spans="1:7" x14ac:dyDescent="0.45">
      <c r="A6" s="5" t="s">
        <v>35</v>
      </c>
      <c r="B6" s="5" t="s">
        <v>15</v>
      </c>
      <c r="C6">
        <v>30</v>
      </c>
      <c r="D6">
        <v>31</v>
      </c>
      <c r="E6">
        <v>45000</v>
      </c>
      <c r="F6">
        <v>43548.3871</v>
      </c>
    </row>
    <row r="7" spans="1:7" x14ac:dyDescent="0.45">
      <c r="A7" s="5" t="s">
        <v>36</v>
      </c>
      <c r="B7" s="5" t="s">
        <v>15</v>
      </c>
      <c r="C7">
        <v>31</v>
      </c>
      <c r="D7">
        <v>31</v>
      </c>
      <c r="E7">
        <v>50000</v>
      </c>
      <c r="F7">
        <v>50000</v>
      </c>
    </row>
    <row r="8" spans="1:7" x14ac:dyDescent="0.45">
      <c r="A8" s="5" t="s">
        <v>37</v>
      </c>
      <c r="B8" s="5" t="s">
        <v>16</v>
      </c>
      <c r="C8">
        <v>31</v>
      </c>
      <c r="D8">
        <v>31</v>
      </c>
      <c r="E8">
        <v>55000</v>
      </c>
      <c r="F8">
        <v>55000</v>
      </c>
    </row>
    <row r="9" spans="1:7" x14ac:dyDescent="0.45">
      <c r="A9" s="5" t="s">
        <v>41</v>
      </c>
      <c r="B9" s="5"/>
    </row>
    <row r="10" spans="1:7" x14ac:dyDescent="0.45">
      <c r="A10" s="5" t="s">
        <v>24</v>
      </c>
      <c r="B10" s="5" t="s">
        <v>13</v>
      </c>
      <c r="C10">
        <v>31</v>
      </c>
      <c r="D10">
        <v>31</v>
      </c>
      <c r="E10">
        <v>25000</v>
      </c>
      <c r="F10">
        <v>25000</v>
      </c>
    </row>
    <row r="11" spans="1:7" x14ac:dyDescent="0.45">
      <c r="A11" s="5" t="s">
        <v>25</v>
      </c>
      <c r="B11" s="5" t="s">
        <v>13</v>
      </c>
      <c r="C11">
        <v>31</v>
      </c>
      <c r="D11">
        <v>31</v>
      </c>
      <c r="E11">
        <v>30000</v>
      </c>
      <c r="F11">
        <v>30000</v>
      </c>
    </row>
    <row r="12" spans="1:7" x14ac:dyDescent="0.45">
      <c r="A12" s="5" t="s">
        <v>26</v>
      </c>
      <c r="B12" s="5" t="s">
        <v>14</v>
      </c>
      <c r="C12">
        <v>29</v>
      </c>
      <c r="D12">
        <v>31</v>
      </c>
      <c r="E12">
        <v>35000</v>
      </c>
      <c r="F12">
        <v>32741.9355</v>
      </c>
    </row>
    <row r="13" spans="1:7" x14ac:dyDescent="0.45">
      <c r="A13" s="5" t="s">
        <v>27</v>
      </c>
      <c r="B13" s="5" t="s">
        <v>14</v>
      </c>
      <c r="C13">
        <v>30</v>
      </c>
      <c r="D13">
        <v>31</v>
      </c>
      <c r="E13">
        <v>40000</v>
      </c>
      <c r="F13">
        <v>38709.6774</v>
      </c>
    </row>
    <row r="14" spans="1:7" x14ac:dyDescent="0.45">
      <c r="A14" s="5" t="s">
        <v>28</v>
      </c>
      <c r="B14" s="5" t="s">
        <v>15</v>
      </c>
      <c r="C14">
        <v>30</v>
      </c>
      <c r="D14">
        <v>31</v>
      </c>
      <c r="E14">
        <v>45000</v>
      </c>
      <c r="F14">
        <v>43548.3871</v>
      </c>
    </row>
    <row r="15" spans="1:7" x14ac:dyDescent="0.45">
      <c r="A15" s="5" t="s">
        <v>29</v>
      </c>
      <c r="B15" s="5" t="s">
        <v>15</v>
      </c>
      <c r="C15">
        <v>31</v>
      </c>
      <c r="D15">
        <v>31</v>
      </c>
      <c r="E15">
        <v>50000</v>
      </c>
      <c r="F15">
        <v>50000</v>
      </c>
    </row>
    <row r="16" spans="1:7" x14ac:dyDescent="0.45">
      <c r="A16" s="5" t="s">
        <v>30</v>
      </c>
      <c r="B16" s="5" t="s">
        <v>16</v>
      </c>
      <c r="C16">
        <v>31</v>
      </c>
      <c r="D16">
        <v>31</v>
      </c>
      <c r="E16">
        <v>55000</v>
      </c>
      <c r="F16">
        <v>55000</v>
      </c>
    </row>
    <row r="17" spans="1:7" x14ac:dyDescent="0.45">
      <c r="A17" s="5" t="s">
        <v>17</v>
      </c>
      <c r="B17" s="5" t="s">
        <v>13</v>
      </c>
      <c r="C17">
        <v>31</v>
      </c>
      <c r="D17">
        <v>31</v>
      </c>
      <c r="E17">
        <v>25000</v>
      </c>
      <c r="F17">
        <v>25000</v>
      </c>
    </row>
    <row r="18" spans="1:7" x14ac:dyDescent="0.45">
      <c r="A18" s="5" t="s">
        <v>18</v>
      </c>
      <c r="B18" s="5" t="s">
        <v>13</v>
      </c>
      <c r="C18">
        <v>31</v>
      </c>
      <c r="D18">
        <v>31</v>
      </c>
      <c r="E18">
        <v>30000</v>
      </c>
      <c r="F18">
        <v>30000</v>
      </c>
    </row>
    <row r="19" spans="1:7" x14ac:dyDescent="0.45">
      <c r="A19" s="5" t="s">
        <v>19</v>
      </c>
      <c r="B19" s="5" t="s">
        <v>14</v>
      </c>
      <c r="C19">
        <v>29</v>
      </c>
      <c r="D19">
        <v>31</v>
      </c>
      <c r="E19">
        <v>35000</v>
      </c>
      <c r="F19">
        <v>32741.9355</v>
      </c>
    </row>
    <row r="20" spans="1:7" x14ac:dyDescent="0.45">
      <c r="A20" s="5" t="s">
        <v>20</v>
      </c>
      <c r="B20" s="5" t="s">
        <v>14</v>
      </c>
      <c r="C20">
        <v>30</v>
      </c>
      <c r="D20">
        <v>31</v>
      </c>
      <c r="E20">
        <v>40000</v>
      </c>
      <c r="F20">
        <v>38709.6774</v>
      </c>
    </row>
    <row r="21" spans="1:7" x14ac:dyDescent="0.45">
      <c r="A21" s="5" t="s">
        <v>21</v>
      </c>
      <c r="B21" s="5" t="s">
        <v>15</v>
      </c>
      <c r="C21">
        <v>30</v>
      </c>
      <c r="D21">
        <v>31</v>
      </c>
      <c r="E21">
        <v>45000</v>
      </c>
      <c r="F21">
        <v>43548.3871</v>
      </c>
    </row>
    <row r="22" spans="1:7" x14ac:dyDescent="0.45">
      <c r="A22" s="5" t="s">
        <v>22</v>
      </c>
      <c r="B22" s="5" t="s">
        <v>15</v>
      </c>
      <c r="C22">
        <v>31</v>
      </c>
      <c r="D22">
        <v>31</v>
      </c>
      <c r="E22">
        <v>50000</v>
      </c>
      <c r="F22">
        <v>50000</v>
      </c>
    </row>
    <row r="23" spans="1:7" x14ac:dyDescent="0.45">
      <c r="A23" s="5" t="s">
        <v>23</v>
      </c>
      <c r="B23" s="5" t="s">
        <v>16</v>
      </c>
      <c r="C23">
        <v>31</v>
      </c>
      <c r="D23">
        <v>31</v>
      </c>
      <c r="E23">
        <v>55000</v>
      </c>
      <c r="F23">
        <v>55000</v>
      </c>
    </row>
    <row r="24" spans="1:7" x14ac:dyDescent="0.45">
      <c r="A24" s="5" t="s">
        <v>6</v>
      </c>
      <c r="B24" s="5" t="s">
        <v>13</v>
      </c>
      <c r="C24">
        <v>31</v>
      </c>
      <c r="D24">
        <v>31</v>
      </c>
      <c r="F24">
        <v>25000</v>
      </c>
      <c r="G24">
        <v>25000</v>
      </c>
    </row>
    <row r="25" spans="1:7" x14ac:dyDescent="0.45">
      <c r="A25" s="5" t="s">
        <v>7</v>
      </c>
      <c r="B25" s="5" t="s">
        <v>13</v>
      </c>
      <c r="C25">
        <v>31</v>
      </c>
      <c r="D25">
        <v>31</v>
      </c>
      <c r="F25">
        <v>30000</v>
      </c>
      <c r="G25">
        <v>30000</v>
      </c>
    </row>
    <row r="26" spans="1:7" x14ac:dyDescent="0.45">
      <c r="A26" s="5" t="s">
        <v>8</v>
      </c>
      <c r="B26" s="5" t="s">
        <v>14</v>
      </c>
      <c r="C26">
        <v>29</v>
      </c>
      <c r="D26">
        <v>31</v>
      </c>
      <c r="F26">
        <v>32741.9355</v>
      </c>
      <c r="G26">
        <v>35000</v>
      </c>
    </row>
    <row r="27" spans="1:7" x14ac:dyDescent="0.45">
      <c r="A27" s="5" t="s">
        <v>9</v>
      </c>
      <c r="B27" s="5" t="s">
        <v>14</v>
      </c>
      <c r="C27">
        <v>30</v>
      </c>
      <c r="D27">
        <v>31</v>
      </c>
      <c r="F27">
        <v>38709.6774</v>
      </c>
      <c r="G27">
        <v>40000</v>
      </c>
    </row>
    <row r="28" spans="1:7" x14ac:dyDescent="0.45">
      <c r="A28" s="5" t="s">
        <v>10</v>
      </c>
      <c r="B28" s="5" t="s">
        <v>15</v>
      </c>
      <c r="C28">
        <v>30</v>
      </c>
      <c r="D28">
        <v>31</v>
      </c>
      <c r="F28">
        <v>43548.3871</v>
      </c>
      <c r="G28">
        <v>45000</v>
      </c>
    </row>
    <row r="29" spans="1:7" x14ac:dyDescent="0.45">
      <c r="A29" s="5" t="s">
        <v>11</v>
      </c>
      <c r="B29" s="5" t="s">
        <v>15</v>
      </c>
      <c r="C29">
        <v>31</v>
      </c>
      <c r="D29">
        <v>31</v>
      </c>
      <c r="F29">
        <v>50000</v>
      </c>
      <c r="G29">
        <v>50000</v>
      </c>
    </row>
    <row r="30" spans="1:7" x14ac:dyDescent="0.45">
      <c r="A30" s="5" t="s">
        <v>12</v>
      </c>
      <c r="B30" s="5" t="s">
        <v>16</v>
      </c>
      <c r="C30">
        <v>31</v>
      </c>
      <c r="D30">
        <v>31</v>
      </c>
      <c r="F30">
        <v>55000</v>
      </c>
      <c r="G30">
        <v>55000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11C30-545A-4A27-8160-D2C6F06F6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Accounts_Data</vt:lpstr>
      <vt:lpstr>Operations_Data</vt:lpstr>
      <vt:lpstr>Sales_Data</vt:lpstr>
      <vt:lpstr>Support_Data</vt:lpstr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Win11 Pro</cp:lastModifiedBy>
  <dcterms:created xsi:type="dcterms:W3CDTF">2015-06-05T18:17:20Z</dcterms:created>
  <dcterms:modified xsi:type="dcterms:W3CDTF">2025-11-26T14:53:01Z</dcterms:modified>
</cp:coreProperties>
</file>